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58b22b1ad37b3b/Desktop/MIS Practice/excel/"/>
    </mc:Choice>
  </mc:AlternateContent>
  <xr:revisionPtr revIDLastSave="2" documentId="13_ncr:1_{3130A855-510E-4CBA-BF17-8DE12DA74918}" xr6:coauthVersionLast="47" xr6:coauthVersionMax="47" xr10:uidLastSave="{2BEFA871-6642-4B1C-8439-E655835FCBEF}"/>
  <bookViews>
    <workbookView xWindow="-108" yWindow="-108" windowWidth="23256" windowHeight="12456" xr2:uid="{00000000-000D-0000-FFFF-FFFF00000000}"/>
  </bookViews>
  <sheets>
    <sheet name="IF" sheetId="3" r:id="rId1"/>
    <sheet name="IF_Final" sheetId="4" r:id="rId2"/>
    <sheet name="IFS" sheetId="9" r:id="rId3"/>
    <sheet name="SWITCH" sheetId="10" r:id="rId4"/>
    <sheet name="LET" sheetId="11" r:id="rId5"/>
  </sheets>
  <definedNames>
    <definedName name="_xlcn.WorksheetConnection_T9A2C161" hidden="1">#REF!</definedName>
    <definedName name="GRADE">_xlfn.LAMBDA(_xlpm.score, _xlfn.IFS(_xlpm.score&gt;=90,"A", _xlpm.score&gt;=80,"B", _xlpm.score&gt;=70,"C", _xlpm.score&gt;=60,"D", TRUE,"F"))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1" l="1" a="1"/>
  <c r="C3" i="11" s="1"/>
  <c r="C4" i="11" a="1"/>
  <c r="C4" i="11" s="1"/>
  <c r="C5" i="11" a="1"/>
  <c r="C5" i="11" s="1"/>
  <c r="C2" i="11" a="1"/>
  <c r="C2" i="11" s="1"/>
  <c r="B3" i="10" a="1"/>
  <c r="B3" i="10" s="1"/>
  <c r="B4" i="10" a="1"/>
  <c r="B4" i="10" s="1"/>
  <c r="B5" i="10" a="1"/>
  <c r="B5" i="10" s="1"/>
  <c r="B2" i="10" a="1"/>
  <c r="B2" i="10" s="1"/>
  <c r="D3" i="9" a="1"/>
  <c r="D3" i="9" s="1"/>
  <c r="D4" i="9" a="1"/>
  <c r="D4" i="9" s="1"/>
  <c r="D5" i="9" a="1"/>
  <c r="D5" i="9" s="1"/>
  <c r="D2" i="9" a="1"/>
  <c r="D2" i="9" s="1"/>
  <c r="C3" i="9"/>
  <c r="C4" i="9"/>
  <c r="C5" i="9"/>
  <c r="C2" i="9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C6" i="4"/>
  <c r="F5" i="4"/>
  <c r="E5" i="4"/>
  <c r="D5" i="4"/>
  <c r="C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<sst xmlns="http://schemas.openxmlformats.org/spreadsheetml/2006/main" count="89" uniqueCount="39">
  <si>
    <t>Apps</t>
  </si>
  <si>
    <t>Revenue</t>
  </si>
  <si>
    <t>Fightrr</t>
  </si>
  <si>
    <t>Kryptis</t>
  </si>
  <si>
    <t>Perino</t>
  </si>
  <si>
    <t>Hackrr</t>
  </si>
  <si>
    <t>WenCaL</t>
  </si>
  <si>
    <t>Blend</t>
  </si>
  <si>
    <t>Sleops</t>
  </si>
  <si>
    <t>Accord</t>
  </si>
  <si>
    <t>Misty Wash</t>
  </si>
  <si>
    <t>Twenty20</t>
  </si>
  <si>
    <t>Revenue &gt; 15000 then "Good"</t>
  </si>
  <si>
    <t>Revenue &gt; 15000 and &lt;20000 then "Good"</t>
  </si>
  <si>
    <t>Actual Revenue</t>
  </si>
  <si>
    <t>Budget Revenue</t>
  </si>
  <si>
    <t>Revenue &gt; 15000 and &lt;20000 then "Good", Revenue &gt;=20000 is "Exceptional", rest is value</t>
  </si>
  <si>
    <t>IF Formula Basics</t>
  </si>
  <si>
    <t>Revenue &gt;= 20000 or &lt;=15000 then "Flag"</t>
  </si>
  <si>
    <t>▲</t>
  </si>
  <si>
    <t>▼</t>
  </si>
  <si>
    <t xml:space="preserve"> +-10 % Threshold value</t>
  </si>
  <si>
    <t xml:space="preserve"> +-10 % Threshold symbol</t>
  </si>
  <si>
    <t>Good</t>
  </si>
  <si>
    <t>Test scores</t>
  </si>
  <si>
    <t>Person</t>
  </si>
  <si>
    <t>Leila</t>
  </si>
  <si>
    <t>Anna</t>
  </si>
  <si>
    <t>Chris</t>
  </si>
  <si>
    <t>Maria</t>
  </si>
  <si>
    <t>Nested IF</t>
  </si>
  <si>
    <t>IFS</t>
  </si>
  <si>
    <t>Code</t>
  </si>
  <si>
    <t>Department</t>
  </si>
  <si>
    <t>FIN</t>
  </si>
  <si>
    <t>MKT</t>
  </si>
  <si>
    <t>OPS</t>
  </si>
  <si>
    <t>HR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</si>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</sst>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3"/>
      <color theme="1"/>
      <name val="Aptos"/>
      <family val="2"/>
    </font>
    <font>
      <sz val="11"/>
      <color theme="1" tint="0.499984740745262"/>
      <name val="Aptos"/>
      <family val="2"/>
    </font>
    <font>
      <b/>
      <sz val="11"/>
      <color theme="0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638EC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5" fillId="0" borderId="1" xfId="0" applyFont="1" applyBorder="1"/>
    <xf numFmtId="0" fontId="8" fillId="0" borderId="0" xfId="0" applyFont="1" applyAlignment="1">
      <alignment horizontal="right"/>
    </xf>
    <xf numFmtId="0" fontId="8" fillId="0" borderId="0" xfId="0" applyFont="1"/>
    <xf numFmtId="0" fontId="9" fillId="2" borderId="0" xfId="0" applyFont="1" applyFill="1"/>
    <xf numFmtId="0" fontId="5" fillId="3" borderId="0" xfId="0" applyFont="1" applyFill="1" applyAlignment="1">
      <alignment horizontal="left" vertical="center" wrapText="1"/>
    </xf>
    <xf numFmtId="3" fontId="5" fillId="0" borderId="0" xfId="0" applyNumberFormat="1" applyFont="1"/>
    <xf numFmtId="1" fontId="5" fillId="0" borderId="0" xfId="1" applyNumberFormat="1" applyFont="1"/>
    <xf numFmtId="0" fontId="5" fillId="3" borderId="0" xfId="0" quotePrefix="1" applyFont="1" applyFill="1" applyAlignment="1">
      <alignment horizontal="left" vertical="center" wrapText="1"/>
    </xf>
    <xf numFmtId="10" fontId="5" fillId="0" borderId="0" xfId="1" applyNumberFormat="1" applyFont="1"/>
    <xf numFmtId="0" fontId="6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wrapText="1"/>
    </xf>
  </cellXfs>
  <cellStyles count="6">
    <cellStyle name="Hyperlink 2" xfId="3" xr:uid="{B0D33E65-3DCB-44DF-A349-B232A02A51EE}"/>
    <cellStyle name="Hyperlink 3" xfId="4" xr:uid="{929A4296-DF34-4563-A53A-DFE2F101FCCF}"/>
    <cellStyle name="Normal" xfId="0" builtinId="0"/>
    <cellStyle name="Normal 2" xfId="2" xr:uid="{00000000-0005-0000-0000-000002000000}"/>
    <cellStyle name="Normal 3" xfId="5" xr:uid="{B0D4698B-4131-4074-9431-DC37EEAFDF9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>
      <selection activeCell="A5" sqref="A5"/>
    </sheetView>
  </sheetViews>
  <sheetFormatPr defaultColWidth="9.21875" defaultRowHeight="14.4"/>
  <cols>
    <col min="1" max="1" width="13.6640625" style="1" customWidth="1"/>
    <col min="2" max="2" width="16.88671875" style="1" customWidth="1"/>
    <col min="3" max="3" width="22.33203125" style="1" customWidth="1"/>
    <col min="4" max="4" width="14.33203125" style="1" customWidth="1"/>
    <col min="5" max="5" width="23.33203125" style="1" customWidth="1"/>
    <col min="6" max="6" width="16.88671875" style="1" customWidth="1"/>
    <col min="7" max="16384" width="9.21875" style="1"/>
  </cols>
  <sheetData>
    <row r="1" spans="1:8" ht="17.399999999999999">
      <c r="A1" s="3" t="s">
        <v>17</v>
      </c>
      <c r="B1" s="4"/>
      <c r="C1" s="4"/>
      <c r="D1" s="4"/>
      <c r="E1" s="4"/>
      <c r="F1" s="4"/>
      <c r="G1" s="4"/>
      <c r="H1" s="4"/>
    </row>
    <row r="2" spans="1:8">
      <c r="C2" s="5">
        <v>15000</v>
      </c>
      <c r="D2" s="6">
        <v>15000</v>
      </c>
      <c r="E2" s="6">
        <v>15000</v>
      </c>
      <c r="F2" s="6">
        <v>20000</v>
      </c>
    </row>
    <row r="3" spans="1:8">
      <c r="C3" s="5" t="s">
        <v>23</v>
      </c>
      <c r="D3" s="6">
        <v>20000</v>
      </c>
      <c r="E3" s="6">
        <v>20000</v>
      </c>
      <c r="F3" s="6">
        <v>15000</v>
      </c>
      <c r="G3" s="6"/>
    </row>
    <row r="4" spans="1:8" ht="72">
      <c r="A4" s="7" t="s">
        <v>0</v>
      </c>
      <c r="B4" s="7" t="s">
        <v>1</v>
      </c>
      <c r="C4" s="8" t="s">
        <v>12</v>
      </c>
      <c r="D4" s="8" t="s">
        <v>13</v>
      </c>
      <c r="E4" s="8" t="s">
        <v>16</v>
      </c>
      <c r="F4" s="8" t="s">
        <v>18</v>
      </c>
    </row>
    <row r="5" spans="1:8">
      <c r="A5" s="1" t="s">
        <v>2</v>
      </c>
      <c r="B5" s="9">
        <v>11649</v>
      </c>
    </row>
    <row r="6" spans="1:8">
      <c r="A6" s="1" t="s">
        <v>3</v>
      </c>
      <c r="B6" s="9">
        <v>7718</v>
      </c>
    </row>
    <row r="7" spans="1:8">
      <c r="A7" s="1" t="s">
        <v>4</v>
      </c>
      <c r="B7" s="9">
        <v>15033</v>
      </c>
    </row>
    <row r="8" spans="1:8">
      <c r="A8" s="1" t="s">
        <v>5</v>
      </c>
      <c r="B8" s="9">
        <v>18700.5</v>
      </c>
    </row>
    <row r="9" spans="1:8">
      <c r="A9" s="1" t="s">
        <v>6</v>
      </c>
      <c r="B9" s="9">
        <v>14432</v>
      </c>
    </row>
    <row r="10" spans="1:8">
      <c r="A10" s="1" t="s">
        <v>7</v>
      </c>
      <c r="B10" s="9">
        <v>17990</v>
      </c>
    </row>
    <row r="11" spans="1:8">
      <c r="A11" s="1" t="s">
        <v>8</v>
      </c>
      <c r="B11" s="9">
        <v>11022</v>
      </c>
    </row>
    <row r="12" spans="1:8">
      <c r="A12" s="1" t="s">
        <v>9</v>
      </c>
      <c r="B12" s="9">
        <v>17760</v>
      </c>
    </row>
    <row r="13" spans="1:8">
      <c r="A13" s="1" t="s">
        <v>10</v>
      </c>
      <c r="B13" s="9">
        <v>30399.599999999999</v>
      </c>
    </row>
    <row r="14" spans="1:8">
      <c r="A14" s="1" t="s">
        <v>11</v>
      </c>
      <c r="B14" s="9">
        <v>20400</v>
      </c>
    </row>
    <row r="15" spans="1:8">
      <c r="E15" s="10"/>
    </row>
    <row r="22" spans="1:5" ht="43.2">
      <c r="A22" s="7" t="s">
        <v>0</v>
      </c>
      <c r="B22" s="7" t="s">
        <v>14</v>
      </c>
      <c r="C22" s="7" t="s">
        <v>15</v>
      </c>
      <c r="D22" s="11" t="s">
        <v>21</v>
      </c>
      <c r="E22" s="11" t="s">
        <v>22</v>
      </c>
    </row>
    <row r="23" spans="1:5">
      <c r="A23" s="1" t="s">
        <v>2</v>
      </c>
      <c r="B23" s="9">
        <v>11649</v>
      </c>
      <c r="C23" s="9">
        <v>10593</v>
      </c>
      <c r="D23" s="12"/>
    </row>
    <row r="24" spans="1:5">
      <c r="A24" s="1" t="s">
        <v>3</v>
      </c>
      <c r="B24" s="9">
        <v>7718</v>
      </c>
      <c r="C24" s="9">
        <v>6409</v>
      </c>
      <c r="D24" s="12"/>
    </row>
    <row r="25" spans="1:5">
      <c r="A25" s="1" t="s">
        <v>4</v>
      </c>
      <c r="B25" s="9">
        <v>15033</v>
      </c>
      <c r="C25" s="9">
        <v>12724</v>
      </c>
      <c r="D25" s="12"/>
    </row>
    <row r="26" spans="1:5">
      <c r="A26" s="1" t="s">
        <v>5</v>
      </c>
      <c r="B26" s="9">
        <v>18700.5</v>
      </c>
      <c r="C26" s="9">
        <v>19101.600000000002</v>
      </c>
      <c r="D26" s="12"/>
    </row>
    <row r="27" spans="1:5">
      <c r="A27" s="1" t="s">
        <v>6</v>
      </c>
      <c r="B27" s="9">
        <v>14432</v>
      </c>
      <c r="C27" s="9">
        <v>15113</v>
      </c>
      <c r="D27" s="12"/>
    </row>
    <row r="28" spans="1:5">
      <c r="A28" s="1" t="s">
        <v>7</v>
      </c>
      <c r="B28" s="9">
        <v>17990</v>
      </c>
      <c r="C28" s="9">
        <v>18181</v>
      </c>
      <c r="D28" s="12"/>
    </row>
    <row r="29" spans="1:5">
      <c r="A29" s="1" t="s">
        <v>8</v>
      </c>
      <c r="B29" s="9">
        <v>11022</v>
      </c>
      <c r="C29" s="9">
        <v>13112</v>
      </c>
      <c r="D29" s="12"/>
    </row>
    <row r="30" spans="1:5">
      <c r="A30" s="1" t="s">
        <v>9</v>
      </c>
      <c r="B30" s="9">
        <v>17760</v>
      </c>
      <c r="C30" s="9">
        <v>16854</v>
      </c>
      <c r="D30" s="12"/>
    </row>
    <row r="31" spans="1:5">
      <c r="A31" s="1" t="s">
        <v>10</v>
      </c>
      <c r="B31" s="9">
        <v>30399.599999999999</v>
      </c>
      <c r="C31" s="9">
        <v>30237.199999999997</v>
      </c>
      <c r="D31" s="12"/>
    </row>
    <row r="32" spans="1:5">
      <c r="A32" s="1" t="s">
        <v>11</v>
      </c>
      <c r="B32" s="9">
        <v>20400</v>
      </c>
      <c r="C32" s="9">
        <v>18476.8</v>
      </c>
      <c r="D3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>
      <selection activeCell="E10" sqref="E10"/>
    </sheetView>
  </sheetViews>
  <sheetFormatPr defaultColWidth="9.21875" defaultRowHeight="14.4"/>
  <cols>
    <col min="1" max="1" width="13.6640625" style="1" customWidth="1"/>
    <col min="2" max="2" width="16.88671875" style="1" customWidth="1"/>
    <col min="3" max="3" width="22.33203125" style="1" customWidth="1"/>
    <col min="4" max="4" width="14.33203125" style="1" customWidth="1"/>
    <col min="5" max="5" width="23.33203125" style="1" customWidth="1"/>
    <col min="6" max="6" width="16.88671875" style="1" customWidth="1"/>
    <col min="7" max="16384" width="9.21875" style="1"/>
  </cols>
  <sheetData>
    <row r="1" spans="1:8" ht="17.399999999999999">
      <c r="A1" s="3" t="s">
        <v>17</v>
      </c>
      <c r="B1" s="4"/>
      <c r="C1" s="4"/>
      <c r="D1" s="4"/>
      <c r="E1" s="4"/>
      <c r="F1" s="4"/>
      <c r="G1" s="4"/>
      <c r="H1" s="4"/>
    </row>
    <row r="2" spans="1:8">
      <c r="C2" s="5">
        <v>15000</v>
      </c>
      <c r="D2" s="6">
        <v>15000</v>
      </c>
      <c r="E2" s="6">
        <v>15000</v>
      </c>
      <c r="F2" s="6">
        <v>20000</v>
      </c>
    </row>
    <row r="3" spans="1:8">
      <c r="C3" s="5" t="s">
        <v>23</v>
      </c>
      <c r="D3" s="6">
        <v>20000</v>
      </c>
      <c r="E3" s="6">
        <v>20000</v>
      </c>
      <c r="F3" s="6">
        <v>15000</v>
      </c>
      <c r="G3" s="6"/>
    </row>
    <row r="4" spans="1:8" ht="72">
      <c r="A4" s="7" t="s">
        <v>0</v>
      </c>
      <c r="B4" s="7" t="s">
        <v>1</v>
      </c>
      <c r="C4" s="8" t="s">
        <v>12</v>
      </c>
      <c r="D4" s="8" t="s">
        <v>13</v>
      </c>
      <c r="E4" s="8" t="s">
        <v>16</v>
      </c>
      <c r="F4" s="8" t="s">
        <v>18</v>
      </c>
    </row>
    <row r="5" spans="1:8">
      <c r="A5" s="1" t="s">
        <v>2</v>
      </c>
      <c r="B5" s="9">
        <v>11649</v>
      </c>
      <c r="C5" s="1" t="str">
        <f>IF(B5&gt;$C$2,$C$3,"")</f>
        <v/>
      </c>
      <c r="D5" s="1" t="str">
        <f>IF(AND(B5&gt;$D$2,B5&lt;$D$3),"Good","")</f>
        <v/>
      </c>
      <c r="E5" s="10">
        <f>IF(AND(B5&gt;$E$2,B5&lt;$E$3),"Good",IF(B5&gt;=$E$3,"Exceptional",B5))</f>
        <v>11649</v>
      </c>
      <c r="F5" s="1" t="str">
        <f>IF(OR(B5&gt;=$F$2,B5&lt;=$F$3),"Flag","")</f>
        <v>Flag</v>
      </c>
    </row>
    <row r="6" spans="1:8">
      <c r="A6" s="1" t="s">
        <v>3</v>
      </c>
      <c r="B6" s="9">
        <v>7718</v>
      </c>
      <c r="C6" s="1" t="str">
        <f t="shared" ref="C6:C14" si="0">IF(B6&gt;$C$2,$C$3,"")</f>
        <v/>
      </c>
      <c r="D6" s="1" t="str">
        <f t="shared" ref="D6:D14" si="1">IF(AND(B6&gt;$D$2,B6&lt;$D$3),"Good","")</f>
        <v/>
      </c>
      <c r="E6" s="10">
        <f t="shared" ref="E6:E14" si="2">IF(AND(B6&gt;$E$2,B6&lt;$E$3),"Good",IF(B6&gt;=$E$3,"Exceptional",B6))</f>
        <v>7718</v>
      </c>
      <c r="F6" s="1" t="str">
        <f t="shared" ref="F6:F14" si="3">IF(OR(B6&gt;=$F$2,B6&lt;=$F$3),"Flag","")</f>
        <v>Flag</v>
      </c>
    </row>
    <row r="7" spans="1:8">
      <c r="A7" s="1" t="s">
        <v>4</v>
      </c>
      <c r="B7" s="9">
        <v>15033</v>
      </c>
      <c r="C7" s="1" t="str">
        <f t="shared" si="0"/>
        <v>Good</v>
      </c>
      <c r="D7" s="1" t="str">
        <f t="shared" si="1"/>
        <v>Good</v>
      </c>
      <c r="E7" s="10" t="str">
        <f t="shared" si="2"/>
        <v>Good</v>
      </c>
      <c r="F7" s="1" t="str">
        <f t="shared" si="3"/>
        <v/>
      </c>
    </row>
    <row r="8" spans="1:8">
      <c r="A8" s="1" t="s">
        <v>5</v>
      </c>
      <c r="B8" s="9">
        <v>18700.5</v>
      </c>
      <c r="C8" s="1" t="str">
        <f t="shared" si="0"/>
        <v>Good</v>
      </c>
      <c r="D8" s="1" t="str">
        <f t="shared" si="1"/>
        <v>Good</v>
      </c>
      <c r="E8" s="10" t="str">
        <f t="shared" si="2"/>
        <v>Good</v>
      </c>
      <c r="F8" s="1" t="str">
        <f t="shared" si="3"/>
        <v/>
      </c>
    </row>
    <row r="9" spans="1:8">
      <c r="A9" s="1" t="s">
        <v>6</v>
      </c>
      <c r="B9" s="9">
        <v>14432</v>
      </c>
      <c r="C9" s="1" t="str">
        <f t="shared" si="0"/>
        <v/>
      </c>
      <c r="D9" s="1" t="str">
        <f t="shared" si="1"/>
        <v/>
      </c>
      <c r="E9" s="10">
        <f t="shared" si="2"/>
        <v>14432</v>
      </c>
      <c r="F9" s="1" t="str">
        <f t="shared" si="3"/>
        <v>Flag</v>
      </c>
    </row>
    <row r="10" spans="1:8">
      <c r="A10" s="1" t="s">
        <v>7</v>
      </c>
      <c r="B10" s="9">
        <v>17990</v>
      </c>
      <c r="C10" s="1" t="str">
        <f t="shared" si="0"/>
        <v>Good</v>
      </c>
      <c r="D10" s="1" t="str">
        <f t="shared" si="1"/>
        <v>Good</v>
      </c>
      <c r="E10" s="10" t="str">
        <f t="shared" si="2"/>
        <v>Good</v>
      </c>
      <c r="F10" s="1" t="str">
        <f t="shared" si="3"/>
        <v/>
      </c>
    </row>
    <row r="11" spans="1:8">
      <c r="A11" s="1" t="s">
        <v>8</v>
      </c>
      <c r="B11" s="9">
        <v>11022</v>
      </c>
      <c r="C11" s="1" t="str">
        <f t="shared" si="0"/>
        <v/>
      </c>
      <c r="D11" s="1" t="str">
        <f t="shared" si="1"/>
        <v/>
      </c>
      <c r="E11" s="10">
        <f t="shared" si="2"/>
        <v>11022</v>
      </c>
      <c r="F11" s="1" t="str">
        <f t="shared" si="3"/>
        <v>Flag</v>
      </c>
    </row>
    <row r="12" spans="1:8">
      <c r="A12" s="1" t="s">
        <v>9</v>
      </c>
      <c r="B12" s="9">
        <v>17760</v>
      </c>
      <c r="C12" s="1" t="str">
        <f t="shared" si="0"/>
        <v>Good</v>
      </c>
      <c r="D12" s="1" t="str">
        <f t="shared" si="1"/>
        <v>Good</v>
      </c>
      <c r="E12" s="10" t="str">
        <f t="shared" si="2"/>
        <v>Good</v>
      </c>
      <c r="F12" s="1" t="str">
        <f t="shared" si="3"/>
        <v/>
      </c>
    </row>
    <row r="13" spans="1:8">
      <c r="A13" s="1" t="s">
        <v>10</v>
      </c>
      <c r="B13" s="9">
        <v>30399.599999999999</v>
      </c>
      <c r="C13" s="1" t="str">
        <f t="shared" si="0"/>
        <v>Good</v>
      </c>
      <c r="D13" s="1" t="str">
        <f t="shared" si="1"/>
        <v/>
      </c>
      <c r="E13" s="10" t="str">
        <f t="shared" si="2"/>
        <v>Exceptional</v>
      </c>
      <c r="F13" s="1" t="str">
        <f t="shared" si="3"/>
        <v>Flag</v>
      </c>
    </row>
    <row r="14" spans="1:8">
      <c r="A14" s="1" t="s">
        <v>11</v>
      </c>
      <c r="B14" s="9">
        <v>20400</v>
      </c>
      <c r="C14" s="1" t="str">
        <f t="shared" si="0"/>
        <v>Good</v>
      </c>
      <c r="D14" s="1" t="str">
        <f t="shared" si="1"/>
        <v/>
      </c>
      <c r="E14" s="10" t="str">
        <f t="shared" si="2"/>
        <v>Exceptional</v>
      </c>
      <c r="F14" s="1" t="str">
        <f t="shared" si="3"/>
        <v>Flag</v>
      </c>
    </row>
    <row r="15" spans="1:8">
      <c r="E15" s="10"/>
    </row>
    <row r="20" spans="1:5">
      <c r="A20" s="1" t="s">
        <v>19</v>
      </c>
    </row>
    <row r="21" spans="1:5">
      <c r="A21" s="1" t="s">
        <v>20</v>
      </c>
    </row>
    <row r="22" spans="1:5" ht="43.2">
      <c r="A22" s="7" t="s">
        <v>0</v>
      </c>
      <c r="B22" s="7" t="s">
        <v>14</v>
      </c>
      <c r="C22" s="7" t="s">
        <v>15</v>
      </c>
      <c r="D22" s="11" t="s">
        <v>21</v>
      </c>
      <c r="E22" s="11" t="s">
        <v>22</v>
      </c>
    </row>
    <row r="23" spans="1:5">
      <c r="A23" s="1" t="s">
        <v>2</v>
      </c>
      <c r="B23" s="9">
        <v>11649</v>
      </c>
      <c r="C23" s="9">
        <v>10593</v>
      </c>
      <c r="D23" s="12" t="str">
        <f>IF(OR(B23/C23-1&gt;10%,B23/C23-1&lt;-10%),B23/C23-1,"")</f>
        <v/>
      </c>
      <c r="E23" s="1" t="str">
        <f>IF(B23/C23-1&gt;10%,$A$20,IF(B23/C23-1&lt;-10%,$A$21,""))</f>
        <v/>
      </c>
    </row>
    <row r="24" spans="1:5">
      <c r="A24" s="1" t="s">
        <v>3</v>
      </c>
      <c r="B24" s="9">
        <v>7718</v>
      </c>
      <c r="C24" s="9">
        <v>6409</v>
      </c>
      <c r="D24" s="12">
        <f t="shared" ref="D24:D32" si="4">IF(OR(B24/C24-1&gt;10%,B24/C24-1&lt;-10%),B24/C24-1,"")</f>
        <v>0.20424403183023876</v>
      </c>
      <c r="E24" s="1" t="str">
        <f t="shared" ref="E24:E32" si="5">IF(B24/C24-1&gt;10%,$A$20,IF(B24/C24-1&lt;-10%,$A$21,""))</f>
        <v>▲</v>
      </c>
    </row>
    <row r="25" spans="1:5">
      <c r="A25" s="1" t="s">
        <v>4</v>
      </c>
      <c r="B25" s="9">
        <v>15033</v>
      </c>
      <c r="C25" s="9">
        <v>12724</v>
      </c>
      <c r="D25" s="12">
        <f t="shared" si="4"/>
        <v>0.18146809179503309</v>
      </c>
      <c r="E25" s="1" t="str">
        <f t="shared" si="5"/>
        <v>▲</v>
      </c>
    </row>
    <row r="26" spans="1:5">
      <c r="A26" s="1" t="s">
        <v>5</v>
      </c>
      <c r="B26" s="9">
        <v>18700.5</v>
      </c>
      <c r="C26" s="9">
        <v>19101.600000000002</v>
      </c>
      <c r="D26" s="12" t="str">
        <f t="shared" si="4"/>
        <v/>
      </c>
      <c r="E26" s="1" t="str">
        <f t="shared" si="5"/>
        <v/>
      </c>
    </row>
    <row r="27" spans="1:5">
      <c r="A27" s="1" t="s">
        <v>6</v>
      </c>
      <c r="B27" s="9">
        <v>14432</v>
      </c>
      <c r="C27" s="9">
        <v>15113</v>
      </c>
      <c r="D27" s="12" t="str">
        <f t="shared" si="4"/>
        <v/>
      </c>
      <c r="E27" s="1" t="str">
        <f t="shared" si="5"/>
        <v/>
      </c>
    </row>
    <row r="28" spans="1:5">
      <c r="A28" s="1" t="s">
        <v>7</v>
      </c>
      <c r="B28" s="9">
        <v>17990</v>
      </c>
      <c r="C28" s="9">
        <v>18181</v>
      </c>
      <c r="D28" s="12" t="str">
        <f t="shared" si="4"/>
        <v/>
      </c>
      <c r="E28" s="1" t="str">
        <f t="shared" si="5"/>
        <v/>
      </c>
    </row>
    <row r="29" spans="1:5">
      <c r="A29" s="1" t="s">
        <v>8</v>
      </c>
      <c r="B29" s="9">
        <v>11022</v>
      </c>
      <c r="C29" s="9">
        <v>13112</v>
      </c>
      <c r="D29" s="12">
        <f t="shared" si="4"/>
        <v>-0.15939597315436238</v>
      </c>
      <c r="E29" s="1" t="str">
        <f t="shared" si="5"/>
        <v>▼</v>
      </c>
    </row>
    <row r="30" spans="1:5">
      <c r="A30" s="1" t="s">
        <v>9</v>
      </c>
      <c r="B30" s="9">
        <v>17760</v>
      </c>
      <c r="C30" s="9">
        <v>16854</v>
      </c>
      <c r="D30" s="12" t="str">
        <f t="shared" si="4"/>
        <v/>
      </c>
      <c r="E30" s="1" t="str">
        <f t="shared" si="5"/>
        <v/>
      </c>
    </row>
    <row r="31" spans="1:5">
      <c r="A31" s="1" t="s">
        <v>10</v>
      </c>
      <c r="B31" s="9">
        <v>30399.599999999999</v>
      </c>
      <c r="C31" s="9">
        <v>30237.199999999997</v>
      </c>
      <c r="D31" s="12" t="str">
        <f t="shared" si="4"/>
        <v/>
      </c>
      <c r="E31" s="1" t="str">
        <f t="shared" si="5"/>
        <v/>
      </c>
    </row>
    <row r="32" spans="1:5">
      <c r="A32" s="1" t="s">
        <v>11</v>
      </c>
      <c r="B32" s="9">
        <v>20400</v>
      </c>
      <c r="C32" s="9">
        <v>18476.8</v>
      </c>
      <c r="D32" s="12">
        <f t="shared" si="4"/>
        <v>0.10408728784205068</v>
      </c>
      <c r="E32" s="1" t="str">
        <f t="shared" si="5"/>
        <v>▲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6CB1-D753-41DD-BCC7-F4771631D0A7}">
  <dimension ref="A1:D5"/>
  <sheetViews>
    <sheetView zoomScale="110" zoomScaleNormal="110" workbookViewId="0">
      <selection activeCell="E9" sqref="E9"/>
    </sheetView>
  </sheetViews>
  <sheetFormatPr defaultColWidth="9.21875" defaultRowHeight="15.6"/>
  <cols>
    <col min="1" max="1" width="10.21875" style="2" customWidth="1"/>
    <col min="2" max="2" width="12.109375" style="2" bestFit="1" customWidth="1"/>
    <col min="3" max="3" width="12.33203125" style="2" customWidth="1"/>
    <col min="4" max="4" width="10.6640625" style="2" customWidth="1"/>
    <col min="5" max="16384" width="9.21875" style="2"/>
  </cols>
  <sheetData>
    <row r="1" spans="1:4">
      <c r="A1" s="14" t="s">
        <v>25</v>
      </c>
      <c r="B1" s="14" t="s">
        <v>24</v>
      </c>
      <c r="C1" s="14" t="s">
        <v>30</v>
      </c>
      <c r="D1" s="14" t="s">
        <v>31</v>
      </c>
    </row>
    <row r="2" spans="1:4">
      <c r="A2" s="2" t="s">
        <v>26</v>
      </c>
      <c r="B2" s="13">
        <v>95</v>
      </c>
      <c r="C2" s="13" t="str">
        <f>IF(B2&gt;=90, "A", IF(B2&gt;=80, "B", IF(B2&gt;=70, "C", IF(B2&gt;=60, "D", "F"))))</f>
        <v>A</v>
      </c>
      <c r="D2" s="13" t="str" cm="1">
        <f t="array" ref="D2">_xlfn.IFS(B2&gt;=90, "A", B2&gt;=80, "B", B2&gt;=70, "C", B2&gt;=60, "D", TRUE, "F")</f>
        <v>A</v>
      </c>
    </row>
    <row r="3" spans="1:4">
      <c r="A3" s="2" t="s">
        <v>27</v>
      </c>
      <c r="B3" s="13">
        <v>82</v>
      </c>
      <c r="C3" s="13" t="str">
        <f t="shared" ref="C3:C5" si="0">IF(B3&gt;=90, "A", IF(B3&gt;=80, "B", IF(B3&gt;=70, "C", IF(B3&gt;=60, "D", "F"))))</f>
        <v>B</v>
      </c>
      <c r="D3" s="13" t="str" cm="1">
        <f t="array" ref="D3">_xlfn.IFS(B3&gt;=90, "A", B3&gt;=80, "B", B3&gt;=70, "C", B3&gt;=60, "D", TRUE, "F")</f>
        <v>B</v>
      </c>
    </row>
    <row r="4" spans="1:4">
      <c r="A4" s="2" t="s">
        <v>29</v>
      </c>
      <c r="B4" s="13">
        <v>74</v>
      </c>
      <c r="C4" s="13" t="str">
        <f t="shared" si="0"/>
        <v>C</v>
      </c>
      <c r="D4" s="13" t="str" cm="1">
        <f t="array" ref="D4">_xlfn.IFS(B4&gt;=90, "A", B4&gt;=80, "B", B4&gt;=70, "C", B4&gt;=60, "D", TRUE, "F")</f>
        <v>C</v>
      </c>
    </row>
    <row r="5" spans="1:4">
      <c r="A5" s="2" t="s">
        <v>28</v>
      </c>
      <c r="B5" s="13">
        <v>55</v>
      </c>
      <c r="C5" s="13" t="str">
        <f t="shared" si="0"/>
        <v>F</v>
      </c>
      <c r="D5" s="13" t="str" cm="1">
        <f t="array" ref="D5">_xlfn.IFS(B5&gt;=90, "A", B5&gt;=80, "B", B5&gt;=70, "C", B5&gt;=60, "D", TRUE, "F")</f>
        <v>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A5BC-2F8A-4DDB-B8DD-8EA30E59F200}">
  <dimension ref="A1:M14"/>
  <sheetViews>
    <sheetView zoomScale="110" zoomScaleNormal="110" workbookViewId="0"/>
  </sheetViews>
  <sheetFormatPr defaultColWidth="9.21875" defaultRowHeight="15.6"/>
  <cols>
    <col min="1" max="1" width="10.21875" style="2" customWidth="1"/>
    <col min="2" max="2" width="13.88671875" style="2" customWidth="1"/>
    <col min="3" max="12" width="9.21875" style="2"/>
    <col min="13" max="13" width="117" style="2" customWidth="1"/>
    <col min="14" max="16384" width="9.21875" style="2"/>
  </cols>
  <sheetData>
    <row r="1" spans="1:13">
      <c r="A1" s="14" t="s">
        <v>32</v>
      </c>
      <c r="B1" s="14" t="s">
        <v>33</v>
      </c>
    </row>
    <row r="2" spans="1:13">
      <c r="A2" s="2" t="s">
        <v>34</v>
      </c>
      <c r="B2" s="13" t="str" cm="1">
        <f t="array" ref="B2">_xlfn.SWITCH(A2, "FIN", "Finance", "MKT", "Marketing", "OPS", "Operations", "Unknown")</f>
        <v>Finance</v>
      </c>
    </row>
    <row r="3" spans="1:13">
      <c r="A3" s="2" t="s">
        <v>35</v>
      </c>
      <c r="B3" s="13" t="str" cm="1">
        <f t="array" ref="B3">_xlfn.SWITCH(A3, "FIN", "Finance", "MKT", "Marketing", "OPS", "Operations", "Unknown")</f>
        <v>Marketing</v>
      </c>
    </row>
    <row r="4" spans="1:13">
      <c r="A4" s="2" t="s">
        <v>36</v>
      </c>
      <c r="B4" s="13" t="str" cm="1">
        <f t="array" ref="B4">_xlfn.SWITCH(A4, "FIN", "Finance", "MKT", "Marketing", "OPS", "Operations", "Unknown")</f>
        <v>Operations</v>
      </c>
    </row>
    <row r="5" spans="1:13">
      <c r="A5" s="2" t="s">
        <v>37</v>
      </c>
      <c r="B5" s="13" t="str" cm="1">
        <f t="array" ref="B5">_xlfn.SWITCH(A5, "FIN", "Finance", "MKT", "Marketing", "OPS", "Operations", "Unknown")</f>
        <v>Unknown</v>
      </c>
    </row>
    <row r="14" spans="1:13">
      <c r="M1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7FC3-3D91-4903-AE0A-BC99CC21205E}">
  <dimension ref="A1:C5"/>
  <sheetViews>
    <sheetView zoomScale="110" zoomScaleNormal="110" workbookViewId="0">
      <selection activeCell="A2" sqref="A2"/>
    </sheetView>
  </sheetViews>
  <sheetFormatPr defaultColWidth="9.21875" defaultRowHeight="15.6"/>
  <cols>
    <col min="1" max="1" width="10.21875" style="2" customWidth="1"/>
    <col min="2" max="2" width="12.109375" style="2" bestFit="1" customWidth="1"/>
    <col min="3" max="3" width="11.109375" style="2" customWidth="1"/>
    <col min="4" max="16384" width="9.21875" style="2"/>
  </cols>
  <sheetData>
    <row r="1" spans="1:3">
      <c r="A1" s="14" t="s">
        <v>25</v>
      </c>
      <c r="B1" s="14" t="s">
        <v>24</v>
      </c>
      <c r="C1" s="14" t="s">
        <v>38</v>
      </c>
    </row>
    <row r="2" spans="1:3">
      <c r="A2" s="2" t="s">
        <v>26</v>
      </c>
      <c r="B2" s="13">
        <v>95</v>
      </c>
      <c r="C2" s="13" t="str" cm="1">
        <f t="array" ref="C2">GRADE(B2)</f>
        <v>A</v>
      </c>
    </row>
    <row r="3" spans="1:3">
      <c r="A3" s="2" t="s">
        <v>27</v>
      </c>
      <c r="B3" s="13">
        <v>82</v>
      </c>
      <c r="C3" s="13" t="str" cm="1">
        <f t="array" ref="C3">GRADE(B3)</f>
        <v>B</v>
      </c>
    </row>
    <row r="4" spans="1:3">
      <c r="A4" s="2" t="s">
        <v>29</v>
      </c>
      <c r="B4" s="13">
        <v>74</v>
      </c>
      <c r="C4" s="13" t="str" cm="1">
        <f t="array" ref="C4">GRADE(B4)</f>
        <v>C</v>
      </c>
    </row>
    <row r="5" spans="1:3">
      <c r="A5" s="2" t="s">
        <v>28</v>
      </c>
      <c r="B5" s="13">
        <v>55</v>
      </c>
      <c r="C5" s="13" t="str" cm="1">
        <f t="array" ref="C5">GRADE(B5)</f>
        <v>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</vt:lpstr>
      <vt:lpstr>IF_Final</vt:lpstr>
      <vt:lpstr>IFS</vt:lpstr>
      <vt:lpstr>SWITCH</vt:lpstr>
      <vt:lpstr>LET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workbook is the property of XelPlus.com</dc:description>
  <cp:lastModifiedBy>Gajanan Maid</cp:lastModifiedBy>
  <dcterms:created xsi:type="dcterms:W3CDTF">2024-03-03T10:45:00Z</dcterms:created>
  <dcterms:modified xsi:type="dcterms:W3CDTF">2026-10-15T10:49:52Z</dcterms:modified>
</cp:coreProperties>
</file>