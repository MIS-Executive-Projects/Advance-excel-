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58b22b1ad37b3b/Desktop/MIS Practice/excel/"/>
    </mc:Choice>
  </mc:AlternateContent>
  <xr:revisionPtr revIDLastSave="95" documentId="8_{B2EA4790-0C43-4EFE-A1D1-C97FBD314999}" xr6:coauthVersionLast="47" xr6:coauthVersionMax="47" xr10:uidLastSave="{337F4C02-D022-4FEB-A0E7-9D035939B539}"/>
  <bookViews>
    <workbookView xWindow="-108" yWindow="-108" windowWidth="23256" windowHeight="12456" xr2:uid="{F67A41FB-A483-4265-855C-013D76C065DC}"/>
  </bookViews>
  <sheets>
    <sheet name="XLOOKUP" sheetId="1" r:id="rId1"/>
    <sheet name="M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5" i="1" l="1" a="1"/>
  <c r="E5" i="1" s="1"/>
  <c r="E6" i="1" a="1"/>
  <c r="E6" i="1" s="1"/>
  <c r="E7" i="1" a="1"/>
  <c r="E7" i="1" s="1"/>
  <c r="E8" i="1" a="1"/>
  <c r="E8" i="1" s="1"/>
  <c r="E9" i="1" a="1"/>
  <c r="E9" i="1" s="1"/>
  <c r="E10" i="1" a="1"/>
  <c r="E10" i="1" s="1"/>
  <c r="E11" i="1" a="1"/>
  <c r="E11" i="1" s="1"/>
  <c r="E12" i="1" a="1"/>
  <c r="E12" i="1" s="1"/>
  <c r="D6" i="1" a="1"/>
  <c r="D6" i="1" s="1"/>
  <c r="D7" i="1" a="1"/>
  <c r="D7" i="1" s="1"/>
  <c r="D8" i="1" a="1"/>
  <c r="D8" i="1" s="1"/>
  <c r="D9" i="1" a="1"/>
  <c r="D9" i="1" s="1"/>
  <c r="D10" i="1" a="1"/>
  <c r="D10" i="1" s="1"/>
  <c r="D11" i="1" a="1"/>
  <c r="D11" i="1" s="1"/>
  <c r="D12" i="1" a="1"/>
  <c r="D12" i="1" s="1"/>
  <c r="D5" i="1" a="1"/>
  <c r="D5" i="1" s="1"/>
  <c r="C12" i="1" a="1"/>
  <c r="C12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5" i="1" a="1"/>
  <c r="C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<sst xmlns="http://schemas.openxmlformats.org/spreadsheetml/2006/main" count="122" uniqueCount="49">
  <si>
    <t>Name</t>
  </si>
  <si>
    <t>Yearly Salary</t>
  </si>
  <si>
    <t>Department</t>
  </si>
  <si>
    <t>Bonus</t>
  </si>
  <si>
    <t>Gary Miller</t>
  </si>
  <si>
    <t>James Willard</t>
  </si>
  <si>
    <t>Richard Elliot</t>
  </si>
  <si>
    <t>Robert Spear</t>
  </si>
  <si>
    <t>Roger Mun</t>
  </si>
  <si>
    <t>Paul Garza</t>
  </si>
  <si>
    <t>Robert Marquez</t>
  </si>
  <si>
    <t>Natalie Porter</t>
  </si>
  <si>
    <t>Bonus Scheme</t>
  </si>
  <si>
    <t>Division</t>
  </si>
  <si>
    <t>Salary</t>
  </si>
  <si>
    <t>Utility</t>
  </si>
  <si>
    <t>Finance</t>
  </si>
  <si>
    <t>Productivity</t>
  </si>
  <si>
    <t>Sales</t>
  </si>
  <si>
    <t>Procurement</t>
  </si>
  <si>
    <t>Kim West</t>
  </si>
  <si>
    <t>Stevie Bridge</t>
  </si>
  <si>
    <t>Game</t>
  </si>
  <si>
    <t>Andre Cooper</t>
  </si>
  <si>
    <t>Crystal Doyle</t>
  </si>
  <si>
    <t>Robert Musser</t>
  </si>
  <si>
    <t>Daniel Garrett</t>
  </si>
  <si>
    <t>Ann Withers</t>
  </si>
  <si>
    <t>Paul Hill</t>
  </si>
  <si>
    <t>Corinna Schmidt</t>
  </si>
  <si>
    <t>Ewan Thompson</t>
  </si>
  <si>
    <t>Walter Miller</t>
  </si>
  <si>
    <t>Paul Wells</t>
  </si>
  <si>
    <t>Betina Bauer</t>
  </si>
  <si>
    <t>Daniela Schreiber</t>
  </si>
  <si>
    <t>Dan Ziegler</t>
  </si>
  <si>
    <t>Peter Ramsy</t>
  </si>
  <si>
    <t>Wolfgang Ramjac</t>
  </si>
  <si>
    <t>Robert Richardson</t>
  </si>
  <si>
    <t>Brigitte Bond</t>
  </si>
  <si>
    <t>Robert Blume</t>
  </si>
  <si>
    <t>Mike Saban</t>
  </si>
  <si>
    <t>Maria Tot</t>
  </si>
  <si>
    <t>Lukas Hofer</t>
  </si>
  <si>
    <t>Start Date</t>
  </si>
  <si>
    <t>Master data for employees</t>
  </si>
  <si>
    <t>Current Division</t>
  </si>
  <si>
    <t>Project Team</t>
  </si>
  <si>
    <t>XLOOKUP Explained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</si>
</sst>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%"/>
    <numFmt numFmtId="166" formatCode="_(* #,##0_);_(* \(#,##0\);_(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Schriftart für Textkörper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2981B9"/>
      </bottom>
      <diagonal/>
    </border>
    <border>
      <left/>
      <right/>
      <top/>
      <bottom style="medium">
        <color rgb="FF9DA85E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2" applyNumberFormat="0" applyFill="0" applyAlignment="0" applyProtection="0"/>
    <xf numFmtId="0" fontId="4" fillId="0" borderId="3" applyNumberFormat="0" applyFill="0" applyAlignment="0" applyProtection="0"/>
    <xf numFmtId="0" fontId="1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2" fillId="0" borderId="2" xfId="0" applyFont="1" applyBorder="1"/>
    <xf numFmtId="0" fontId="4" fillId="0" borderId="2" xfId="3"/>
    <xf numFmtId="0" fontId="4" fillId="0" borderId="3" xfId="4"/>
    <xf numFmtId="3" fontId="0" fillId="0" borderId="0" xfId="0" applyNumberFormat="1"/>
    <xf numFmtId="165" fontId="0" fillId="0" borderId="0" xfId="2" applyNumberFormat="1" applyFont="1"/>
    <xf numFmtId="0" fontId="2" fillId="0" borderId="0" xfId="0" applyFont="1"/>
    <xf numFmtId="0" fontId="3" fillId="0" borderId="0" xfId="0" applyFont="1"/>
    <xf numFmtId="0" fontId="1" fillId="0" borderId="0" xfId="3" applyFont="1" applyBorder="1"/>
    <xf numFmtId="166" fontId="0" fillId="0" borderId="0" xfId="1" applyNumberFormat="1" applyFont="1"/>
    <xf numFmtId="9" fontId="0" fillId="0" borderId="0" xfId="0" applyNumberFormat="1"/>
    <xf numFmtId="9" fontId="0" fillId="0" borderId="0" xfId="2" applyFont="1"/>
    <xf numFmtId="166" fontId="0" fillId="0" borderId="0" xfId="1" applyNumberFormat="1" applyFont="1" applyBorder="1"/>
    <xf numFmtId="14" fontId="0" fillId="0" borderId="0" xfId="0" applyNumberFormat="1"/>
  </cellXfs>
  <cellStyles count="8">
    <cellStyle name="Comma" xfId="1" builtinId="3"/>
    <cellStyle name="Heading 1" xfId="3" builtinId="16"/>
    <cellStyle name="Heading 2" xfId="4" builtinId="17"/>
    <cellStyle name="Hyperlink 2" xfId="6" xr:uid="{7A33224C-4B07-4A69-9811-331F0F48BEA7}"/>
    <cellStyle name="Hyperlink 3" xfId="7" xr:uid="{7B2464B0-6438-4186-B086-6AC536F518CE}"/>
    <cellStyle name="Normal" xfId="0" builtinId="0"/>
    <cellStyle name="Normal 2" xfId="5" xr:uid="{6772BBE3-8465-432A-993C-EEA5F5F1372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CA4B9-8A5B-47F3-9BAD-EB82F47514F3}">
  <sheetPr>
    <tabColor theme="0" tint="-0.249977111117893"/>
  </sheetPr>
  <dimension ref="A1:H13"/>
  <sheetViews>
    <sheetView tabSelected="1" workbookViewId="0">
      <selection activeCell="E7" sqref="E7"/>
    </sheetView>
  </sheetViews>
  <sheetFormatPr defaultRowHeight="14.4"/>
  <cols>
    <col min="1" max="1" width="15.21875" customWidth="1"/>
    <col min="2" max="2" width="11.109375" bestFit="1" customWidth="1"/>
    <col min="3" max="3" width="14" customWidth="1"/>
    <col min="4" max="4" width="14.5546875" customWidth="1"/>
    <col min="5" max="5" width="10.5546875" customWidth="1"/>
  </cols>
  <sheetData>
    <row r="1" spans="1:8" ht="18">
      <c r="A1" s="1" t="s">
        <v>48</v>
      </c>
      <c r="B1" s="2"/>
      <c r="C1" s="2"/>
      <c r="D1" s="2"/>
      <c r="E1" s="2"/>
      <c r="F1" s="2"/>
    </row>
    <row r="3" spans="1:8">
      <c r="A3" t="s">
        <v>47</v>
      </c>
    </row>
    <row r="4" spans="1:8" ht="16.2" thickBot="1">
      <c r="A4" s="3" t="s">
        <v>0</v>
      </c>
      <c r="B4" s="4" t="s">
        <v>1</v>
      </c>
      <c r="C4" s="5" t="s">
        <v>13</v>
      </c>
      <c r="D4" s="5" t="s">
        <v>46</v>
      </c>
      <c r="E4" s="5" t="s">
        <v>3</v>
      </c>
    </row>
    <row r="5" spans="1:8">
      <c r="A5" t="s">
        <v>20</v>
      </c>
      <c r="B5" s="6">
        <v>60200</v>
      </c>
      <c r="C5" t="str" cm="1">
        <f t="array" ref="C5">_xlfn.XLOOKUP(A5,MD!$D$5:$D$37,MD!$B$5:$B$37)</f>
        <v>Utility</v>
      </c>
      <c r="D5" t="str" cm="1">
        <f t="array" ref="D5">_xlfn.XLOOKUP(A5,MD!$D$5:$D$37,MD!$B$5:$B$37,,-1)</f>
        <v>Game</v>
      </c>
      <c r="E5" s="13" cm="1">
        <f t="array" ref="E5">_xlfn.XLOOKUP(B5,MD!$G$5:$G$9,MD!$H$5:$H$9,-1)</f>
        <v>0.1</v>
      </c>
      <c r="H5" s="13"/>
    </row>
    <row r="6" spans="1:8">
      <c r="A6" t="s">
        <v>5</v>
      </c>
      <c r="B6" s="6">
        <v>39627</v>
      </c>
      <c r="C6" t="str" cm="1">
        <f t="array" ref="C6">_xlfn.XLOOKUP(A6,MD!$D$5:$D$37,MD!$B$5:$B$37)</f>
        <v>Productivity</v>
      </c>
      <c r="D6" t="str" cm="1">
        <f t="array" ref="D6">_xlfn.XLOOKUP(A6,MD!$D$5:$D$37,MD!$B$5:$B$37,,-1)</f>
        <v>Productivity</v>
      </c>
      <c r="E6" s="13" cm="1">
        <f t="array" ref="E6">_xlfn.XLOOKUP(B6,MD!$G$5:$G$9,MD!$H$5:$H$9,-1)</f>
        <v>0.05</v>
      </c>
      <c r="H6" s="13"/>
    </row>
    <row r="7" spans="1:8">
      <c r="A7" t="s">
        <v>6</v>
      </c>
      <c r="B7" s="6">
        <v>29727</v>
      </c>
      <c r="C7" t="str" cm="1">
        <f t="array" ref="C7">_xlfn.XLOOKUP(A7,MD!$D$5:$D$37,MD!$B$5:$B$37)</f>
        <v>Productivity</v>
      </c>
      <c r="D7" t="str" cm="1">
        <f t="array" ref="D7">_xlfn.XLOOKUP(A7,MD!$D$5:$D$37,MD!$B$5:$B$37,,-1)</f>
        <v>Productivity</v>
      </c>
      <c r="E7" s="13" cm="1">
        <f t="array" ref="E7">_xlfn.XLOOKUP(B7,MD!$G$5:$G$9,MD!$H$5:$H$9,-1)</f>
        <v>0</v>
      </c>
      <c r="H7" s="13"/>
    </row>
    <row r="8" spans="1:8">
      <c r="A8" t="s">
        <v>21</v>
      </c>
      <c r="B8" s="6">
        <v>93668</v>
      </c>
      <c r="C8" t="str" cm="1">
        <f t="array" ref="C8">_xlfn.XLOOKUP(A8,MD!$D$5:$D$37,MD!$B$5:$B$37)</f>
        <v>Game</v>
      </c>
      <c r="D8" t="str" cm="1">
        <f t="array" ref="D8">_xlfn.XLOOKUP(A8,MD!$D$5:$D$37,MD!$B$5:$B$37,,-1)</f>
        <v>Utility</v>
      </c>
      <c r="E8" s="13" cm="1">
        <f t="array" ref="E8">_xlfn.XLOOKUP(B8,MD!$G$5:$G$9,MD!$H$5:$H$9,-1)</f>
        <v>0.1</v>
      </c>
      <c r="H8" s="13"/>
    </row>
    <row r="9" spans="1:8">
      <c r="A9" t="s">
        <v>8</v>
      </c>
      <c r="B9" s="6">
        <v>134000</v>
      </c>
      <c r="C9" t="str" cm="1">
        <f t="array" ref="C9">_xlfn.XLOOKUP(A9,MD!$D$5:$D$37,MD!$B$5:$B$37)</f>
        <v>Productivity</v>
      </c>
      <c r="D9" t="str" cm="1">
        <f t="array" ref="D9">_xlfn.XLOOKUP(A9,MD!$D$5:$D$37,MD!$B$5:$B$37,,-1)</f>
        <v>Productivity</v>
      </c>
      <c r="E9" s="13" cm="1">
        <f t="array" ref="E9">_xlfn.XLOOKUP(B9,MD!$G$5:$G$9,MD!$H$5:$H$9,-1)</f>
        <v>0.15</v>
      </c>
      <c r="H9" s="13"/>
    </row>
    <row r="10" spans="1:8">
      <c r="A10" t="s">
        <v>9</v>
      </c>
      <c r="B10" s="6">
        <v>34808</v>
      </c>
      <c r="C10" t="str" cm="1">
        <f t="array" ref="C10">_xlfn.XLOOKUP(A10,MD!$D$5:$D$37,MD!$B$5:$B$37)</f>
        <v>Productivity</v>
      </c>
      <c r="D10" t="str" cm="1">
        <f t="array" ref="D10">_xlfn.XLOOKUP(A10,MD!$D$5:$D$37,MD!$B$5:$B$37,,-1)</f>
        <v>Productivity</v>
      </c>
      <c r="E10" s="13" cm="1">
        <f t="array" ref="E10">_xlfn.XLOOKUP(B10,MD!$G$5:$G$9,MD!$H$5:$H$9,-1)</f>
        <v>0.05</v>
      </c>
      <c r="H10" s="13"/>
    </row>
    <row r="11" spans="1:8">
      <c r="A11" t="s">
        <v>10</v>
      </c>
      <c r="B11" s="6">
        <v>134468</v>
      </c>
      <c r="C11" t="str" cm="1">
        <f t="array" ref="C11">_xlfn.XLOOKUP(A11,MD!$D$5:$D$37,MD!$B$5:$B$37)</f>
        <v>Productivity</v>
      </c>
      <c r="D11" t="str" cm="1">
        <f t="array" ref="D11">_xlfn.XLOOKUP(A11,MD!$D$5:$D$37,MD!$B$5:$B$37,,-1)</f>
        <v>Productivity</v>
      </c>
      <c r="E11" s="13" cm="1">
        <f t="array" ref="E11">_xlfn.XLOOKUP(B11,MD!$G$5:$G$9,MD!$H$5:$H$9,-1)</f>
        <v>0.15</v>
      </c>
      <c r="H11" s="13"/>
    </row>
    <row r="12" spans="1:8">
      <c r="A12" t="s">
        <v>11</v>
      </c>
      <c r="B12" s="6">
        <v>45000</v>
      </c>
      <c r="C12" t="str" cm="1">
        <f t="array" ref="C12">_xlfn.XLOOKUP(A12,MD!$D$5:$D$37,MD!$B$5:$B$37)</f>
        <v>Productivity</v>
      </c>
      <c r="D12" t="str" cm="1">
        <f t="array" ref="D12">_xlfn.XLOOKUP(A12,MD!$D$5:$D$37,MD!$B$5:$B$37,,-1)</f>
        <v>Productivity</v>
      </c>
      <c r="E12" s="13" cm="1">
        <f t="array" ref="E12">_xlfn.XLOOKUP(B12,MD!$G$5:$G$9,MD!$H$5:$H$9,-1)</f>
        <v>0.05</v>
      </c>
      <c r="H12" s="13"/>
    </row>
    <row r="13" spans="1:8">
      <c r="B13" s="6"/>
      <c r="D13" s="7"/>
      <c r="E13" s="13"/>
      <c r="H13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26246-5C82-463F-9231-4F6153D6ACD8}">
  <dimension ref="A1:H37"/>
  <sheetViews>
    <sheetView workbookViewId="0">
      <selection activeCell="A4" sqref="A4"/>
    </sheetView>
  </sheetViews>
  <sheetFormatPr defaultRowHeight="14.4"/>
  <cols>
    <col min="1" max="1" width="13.88671875" customWidth="1"/>
    <col min="2" max="2" width="11" customWidth="1"/>
    <col min="3" max="3" width="12" customWidth="1"/>
    <col min="4" max="4" width="15.21875" bestFit="1" customWidth="1"/>
    <col min="5" max="6" width="4.88671875" customWidth="1"/>
    <col min="7" max="7" width="10.5546875" bestFit="1" customWidth="1"/>
  </cols>
  <sheetData>
    <row r="1" spans="1:8" ht="18">
      <c r="A1" s="8" t="s">
        <v>45</v>
      </c>
      <c r="B1" s="9"/>
      <c r="C1" s="9"/>
      <c r="D1" s="9"/>
      <c r="E1" s="9"/>
      <c r="F1" s="9"/>
      <c r="G1" s="9"/>
    </row>
    <row r="2" spans="1:8">
      <c r="G2" s="10" t="s">
        <v>12</v>
      </c>
    </row>
    <row r="4" spans="1:8" ht="15" thickBot="1">
      <c r="A4" s="4" t="s">
        <v>44</v>
      </c>
      <c r="B4" s="4" t="s">
        <v>13</v>
      </c>
      <c r="C4" s="4" t="s">
        <v>2</v>
      </c>
      <c r="D4" s="4" t="s">
        <v>0</v>
      </c>
      <c r="G4" s="4" t="s">
        <v>14</v>
      </c>
      <c r="H4" s="4" t="s">
        <v>3</v>
      </c>
    </row>
    <row r="5" spans="1:8">
      <c r="A5" s="15">
        <v>36647</v>
      </c>
      <c r="B5" t="s">
        <v>22</v>
      </c>
      <c r="C5" t="s">
        <v>18</v>
      </c>
      <c r="D5" t="s">
        <v>36</v>
      </c>
      <c r="G5" s="11">
        <v>60000</v>
      </c>
      <c r="H5" s="12">
        <v>0.1</v>
      </c>
    </row>
    <row r="6" spans="1:8">
      <c r="A6" s="15">
        <v>37135</v>
      </c>
      <c r="B6" t="s">
        <v>17</v>
      </c>
      <c r="C6" t="s">
        <v>19</v>
      </c>
      <c r="D6" t="s">
        <v>27</v>
      </c>
      <c r="G6" s="11">
        <v>50000</v>
      </c>
      <c r="H6" s="12">
        <v>0.08</v>
      </c>
    </row>
    <row r="7" spans="1:8">
      <c r="A7" s="15">
        <v>37438</v>
      </c>
      <c r="B7" t="s">
        <v>22</v>
      </c>
      <c r="C7" t="s">
        <v>18</v>
      </c>
      <c r="D7" t="s">
        <v>37</v>
      </c>
      <c r="G7" s="11">
        <v>100000</v>
      </c>
      <c r="H7" s="12">
        <v>0.15</v>
      </c>
    </row>
    <row r="8" spans="1:8">
      <c r="A8" s="15">
        <v>38200</v>
      </c>
      <c r="B8" t="s">
        <v>17</v>
      </c>
      <c r="C8" t="s">
        <v>16</v>
      </c>
      <c r="D8" t="s">
        <v>26</v>
      </c>
      <c r="G8" s="11">
        <v>30000</v>
      </c>
      <c r="H8" s="12">
        <v>0.05</v>
      </c>
    </row>
    <row r="9" spans="1:8">
      <c r="A9" s="15">
        <v>38353</v>
      </c>
      <c r="B9" t="s">
        <v>17</v>
      </c>
      <c r="C9" t="s">
        <v>18</v>
      </c>
      <c r="D9" t="s">
        <v>7</v>
      </c>
      <c r="G9" s="14">
        <v>10000</v>
      </c>
      <c r="H9" s="12">
        <v>0</v>
      </c>
    </row>
    <row r="10" spans="1:8">
      <c r="A10" s="15">
        <v>38353</v>
      </c>
      <c r="B10" t="s">
        <v>17</v>
      </c>
      <c r="C10" t="s">
        <v>18</v>
      </c>
      <c r="D10" t="s">
        <v>9</v>
      </c>
    </row>
    <row r="11" spans="1:8">
      <c r="A11" s="15">
        <v>38812</v>
      </c>
      <c r="B11" t="s">
        <v>22</v>
      </c>
      <c r="C11" t="s">
        <v>16</v>
      </c>
      <c r="D11" t="s">
        <v>28</v>
      </c>
    </row>
    <row r="12" spans="1:8">
      <c r="A12" s="15">
        <v>38961</v>
      </c>
      <c r="B12" t="s">
        <v>15</v>
      </c>
      <c r="C12" t="s">
        <v>16</v>
      </c>
      <c r="D12" t="s">
        <v>4</v>
      </c>
    </row>
    <row r="13" spans="1:8">
      <c r="A13" s="15">
        <v>38961</v>
      </c>
      <c r="B13" t="s">
        <v>22</v>
      </c>
      <c r="C13" t="s">
        <v>18</v>
      </c>
      <c r="D13" t="s">
        <v>30</v>
      </c>
    </row>
    <row r="14" spans="1:8">
      <c r="A14" s="15">
        <v>39814</v>
      </c>
      <c r="B14" t="s">
        <v>17</v>
      </c>
      <c r="C14" t="s">
        <v>16</v>
      </c>
      <c r="D14" t="s">
        <v>6</v>
      </c>
    </row>
    <row r="15" spans="1:8">
      <c r="A15" s="15">
        <v>39814</v>
      </c>
      <c r="B15" t="s">
        <v>15</v>
      </c>
      <c r="C15" t="s">
        <v>16</v>
      </c>
      <c r="D15" t="s">
        <v>34</v>
      </c>
    </row>
    <row r="16" spans="1:8">
      <c r="A16" s="15">
        <v>39814</v>
      </c>
      <c r="B16" t="s">
        <v>15</v>
      </c>
      <c r="C16" t="s">
        <v>18</v>
      </c>
      <c r="D16" t="s">
        <v>39</v>
      </c>
    </row>
    <row r="17" spans="1:4">
      <c r="A17" s="15">
        <v>39828</v>
      </c>
      <c r="B17" t="s">
        <v>15</v>
      </c>
      <c r="C17" t="s">
        <v>18</v>
      </c>
      <c r="D17" t="s">
        <v>31</v>
      </c>
    </row>
    <row r="18" spans="1:4">
      <c r="A18" s="15">
        <v>40148</v>
      </c>
      <c r="B18" t="s">
        <v>17</v>
      </c>
      <c r="C18" t="s">
        <v>18</v>
      </c>
      <c r="D18" t="s">
        <v>5</v>
      </c>
    </row>
    <row r="19" spans="1:4">
      <c r="A19" s="15">
        <v>40374</v>
      </c>
      <c r="B19" t="s">
        <v>22</v>
      </c>
      <c r="C19" t="s">
        <v>19</v>
      </c>
      <c r="D19" t="s">
        <v>29</v>
      </c>
    </row>
    <row r="20" spans="1:4">
      <c r="A20" s="15">
        <v>40787</v>
      </c>
      <c r="B20" t="s">
        <v>17</v>
      </c>
      <c r="C20" t="s">
        <v>16</v>
      </c>
      <c r="D20" t="s">
        <v>8</v>
      </c>
    </row>
    <row r="21" spans="1:4">
      <c r="A21" s="15">
        <v>40817</v>
      </c>
      <c r="B21" t="s">
        <v>22</v>
      </c>
      <c r="C21" t="s">
        <v>18</v>
      </c>
      <c r="D21" t="s">
        <v>21</v>
      </c>
    </row>
    <row r="22" spans="1:4">
      <c r="A22" s="15">
        <v>40817</v>
      </c>
      <c r="B22" t="s">
        <v>15</v>
      </c>
      <c r="C22" t="s">
        <v>19</v>
      </c>
      <c r="D22" t="s">
        <v>23</v>
      </c>
    </row>
    <row r="23" spans="1:4">
      <c r="A23" s="15">
        <v>41244</v>
      </c>
      <c r="B23" t="s">
        <v>17</v>
      </c>
      <c r="C23" t="s">
        <v>16</v>
      </c>
      <c r="D23" t="s">
        <v>24</v>
      </c>
    </row>
    <row r="24" spans="1:4">
      <c r="A24" s="15">
        <v>41671</v>
      </c>
      <c r="B24" t="s">
        <v>15</v>
      </c>
      <c r="C24" t="s">
        <v>18</v>
      </c>
      <c r="D24" t="s">
        <v>20</v>
      </c>
    </row>
    <row r="25" spans="1:4">
      <c r="A25" s="15">
        <v>42005</v>
      </c>
      <c r="B25" t="s">
        <v>22</v>
      </c>
      <c r="C25" t="s">
        <v>18</v>
      </c>
      <c r="D25" t="s">
        <v>42</v>
      </c>
    </row>
    <row r="26" spans="1:4">
      <c r="A26" s="15">
        <v>42224</v>
      </c>
      <c r="B26" t="s">
        <v>15</v>
      </c>
      <c r="C26" t="s">
        <v>19</v>
      </c>
      <c r="D26" t="s">
        <v>41</v>
      </c>
    </row>
    <row r="27" spans="1:4">
      <c r="A27" s="15">
        <v>42552</v>
      </c>
      <c r="B27" t="s">
        <v>15</v>
      </c>
      <c r="C27" t="s">
        <v>16</v>
      </c>
      <c r="D27" t="s">
        <v>40</v>
      </c>
    </row>
    <row r="28" spans="1:4">
      <c r="A28" s="15">
        <v>42614</v>
      </c>
      <c r="B28" t="s">
        <v>22</v>
      </c>
      <c r="C28" t="s">
        <v>18</v>
      </c>
      <c r="D28" t="s">
        <v>32</v>
      </c>
    </row>
    <row r="29" spans="1:4">
      <c r="A29" s="15">
        <v>42675</v>
      </c>
      <c r="B29" t="s">
        <v>15</v>
      </c>
      <c r="C29" t="s">
        <v>16</v>
      </c>
      <c r="D29" t="s">
        <v>38</v>
      </c>
    </row>
    <row r="30" spans="1:4">
      <c r="A30" s="15">
        <v>42795</v>
      </c>
      <c r="B30" t="s">
        <v>17</v>
      </c>
      <c r="C30" t="s">
        <v>18</v>
      </c>
      <c r="D30" t="s">
        <v>10</v>
      </c>
    </row>
    <row r="31" spans="1:4">
      <c r="A31" s="15">
        <v>43070</v>
      </c>
      <c r="B31" t="s">
        <v>15</v>
      </c>
      <c r="C31" t="s">
        <v>18</v>
      </c>
      <c r="D31" t="s">
        <v>21</v>
      </c>
    </row>
    <row r="32" spans="1:4">
      <c r="A32" s="15">
        <v>43101</v>
      </c>
      <c r="B32" t="s">
        <v>22</v>
      </c>
      <c r="C32" t="s">
        <v>18</v>
      </c>
      <c r="D32" t="s">
        <v>20</v>
      </c>
    </row>
    <row r="33" spans="1:4">
      <c r="A33" s="15">
        <v>43367</v>
      </c>
      <c r="B33" t="s">
        <v>22</v>
      </c>
      <c r="C33" t="s">
        <v>16</v>
      </c>
      <c r="D33" t="s">
        <v>43</v>
      </c>
    </row>
    <row r="34" spans="1:4">
      <c r="A34" s="15">
        <v>43374</v>
      </c>
      <c r="B34" t="s">
        <v>17</v>
      </c>
      <c r="C34" t="s">
        <v>19</v>
      </c>
      <c r="D34" t="s">
        <v>25</v>
      </c>
    </row>
    <row r="35" spans="1:4">
      <c r="A35" s="15">
        <v>43466</v>
      </c>
      <c r="B35" t="s">
        <v>22</v>
      </c>
      <c r="C35" t="s">
        <v>16</v>
      </c>
      <c r="D35" t="s">
        <v>33</v>
      </c>
    </row>
    <row r="36" spans="1:4">
      <c r="A36" s="15">
        <v>43497</v>
      </c>
      <c r="B36" t="s">
        <v>17</v>
      </c>
      <c r="C36" t="s">
        <v>19</v>
      </c>
      <c r="D36" t="s">
        <v>11</v>
      </c>
    </row>
    <row r="37" spans="1:4">
      <c r="A37" s="15">
        <v>43497</v>
      </c>
      <c r="B37" t="s">
        <v>15</v>
      </c>
      <c r="C37" t="s">
        <v>16</v>
      </c>
      <c r="D3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XLOOKUP</vt:lpstr>
      <vt:lpstr>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Gharani</dc:creator>
  <cp:lastModifiedBy>Gajanan Maid</cp:lastModifiedBy>
  <dcterms:created xsi:type="dcterms:W3CDTF">2019-09-06T08:52:22Z</dcterms:created>
  <dcterms:modified xsi:type="dcterms:W3CDTF">2026-10-15T10:48:28Z</dcterms:modified>
</cp:coreProperties>
</file>